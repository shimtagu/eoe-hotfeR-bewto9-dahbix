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7e4b5d77538358/Documents/12_拓殖大学/21_授業/12_教育経済学/Lecture_notes/files/A03/"/>
    </mc:Choice>
  </mc:AlternateContent>
  <xr:revisionPtr revIDLastSave="82" documentId="13_ncr:1_{74A6E571-FB32-B648-A712-043B619B19E2}" xr6:coauthVersionLast="47" xr6:coauthVersionMax="47" xr10:uidLastSave="{0AA610C0-CEE0-AE42-8A45-7E04D852F67B}"/>
  <bookViews>
    <workbookView xWindow="3700" yWindow="1440" windowWidth="23700" windowHeight="16420" activeTab="1" xr2:uid="{C31ADED2-2C04-464C-939A-E36C35D3F30C}"/>
  </bookViews>
  <sheets>
    <sheet name="ヒント" sheetId="4" r:id="rId1"/>
    <sheet name="解答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2" l="1"/>
  <c r="M17" i="2"/>
  <c r="L17" i="2"/>
  <c r="K17" i="2"/>
  <c r="N16" i="2"/>
  <c r="M16" i="2"/>
  <c r="L16" i="2"/>
  <c r="K16" i="2"/>
  <c r="K10" i="2"/>
  <c r="L10" i="2" s="1"/>
  <c r="J10" i="2"/>
  <c r="I10" i="2"/>
  <c r="K4" i="2"/>
  <c r="L4" i="2" s="1"/>
  <c r="J4" i="2"/>
  <c r="I4" i="2"/>
  <c r="K5" i="2"/>
  <c r="J5" i="2"/>
  <c r="K11" i="2"/>
  <c r="J11" i="2"/>
  <c r="I11" i="2"/>
  <c r="I5" i="2"/>
  <c r="J17" i="2"/>
  <c r="I17" i="2"/>
  <c r="H17" i="2"/>
  <c r="G17" i="2"/>
  <c r="H11" i="2"/>
  <c r="G11" i="2"/>
  <c r="F11" i="2"/>
  <c r="H5" i="2"/>
  <c r="G5" i="2"/>
  <c r="F5" i="2"/>
  <c r="O16" i="2" l="1"/>
  <c r="L5" i="2"/>
  <c r="O17" i="2"/>
  <c r="L11" i="2"/>
</calcChain>
</file>

<file path=xl/sharedStrings.xml><?xml version="1.0" encoding="utf-8"?>
<sst xmlns="http://schemas.openxmlformats.org/spreadsheetml/2006/main" count="122" uniqueCount="19">
  <si>
    <t>回し車</t>
    <rPh sb="0" eb="1">
      <t xml:space="preserve">マワシグルマ </t>
    </rPh>
    <phoneticPr fontId="1"/>
  </si>
  <si>
    <t>指導者</t>
    <rPh sb="0" eb="3">
      <t xml:space="preserve">シドウシャ </t>
    </rPh>
    <phoneticPr fontId="1"/>
  </si>
  <si>
    <t>1年目</t>
    <phoneticPr fontId="1"/>
  </si>
  <si>
    <t>2年目</t>
    <phoneticPr fontId="1"/>
  </si>
  <si>
    <t>3年目</t>
    <phoneticPr fontId="1"/>
  </si>
  <si>
    <t>直接費用　賃金</t>
    <rPh sb="0" eb="2">
      <t xml:space="preserve">チョクセツ </t>
    </rPh>
    <rPh sb="2" eb="4">
      <t xml:space="preserve">ヒヨウ </t>
    </rPh>
    <rPh sb="5" eb="7">
      <t xml:space="preserve">チンギン </t>
    </rPh>
    <phoneticPr fontId="1"/>
  </si>
  <si>
    <t>現在価値（割引率8%）</t>
    <rPh sb="0" eb="2">
      <t xml:space="preserve">ゲンザイ </t>
    </rPh>
    <rPh sb="2" eb="4">
      <t xml:space="preserve">カチ </t>
    </rPh>
    <rPh sb="5" eb="8">
      <t xml:space="preserve">ワリビキリツ </t>
    </rPh>
    <phoneticPr fontId="1"/>
  </si>
  <si>
    <t>キャリア
現在価値</t>
    <rPh sb="4" eb="8">
      <t xml:space="preserve">ゲンザイカチ </t>
    </rPh>
    <phoneticPr fontId="1"/>
  </si>
  <si>
    <t>4年目</t>
    <phoneticPr fontId="1"/>
  </si>
  <si>
    <t>4年目</t>
    <rPh sb="1" eb="3">
      <t xml:space="preserve">ネンメ </t>
    </rPh>
    <phoneticPr fontId="1"/>
  </si>
  <si>
    <t>機会費用を追加</t>
    <rPh sb="0" eb="2">
      <t xml:space="preserve">キカイヒヨウｗ </t>
    </rPh>
    <rPh sb="2" eb="4">
      <t xml:space="preserve">ヒヨウ </t>
    </rPh>
    <rPh sb="5" eb="7">
      <t xml:space="preserve">ツイカ </t>
    </rPh>
    <phoneticPr fontId="1"/>
  </si>
  <si>
    <t>1年目</t>
  </si>
  <si>
    <t>2年目</t>
  </si>
  <si>
    <t>3年目</t>
  </si>
  <si>
    <t>4年目</t>
  </si>
  <si>
    <t>-</t>
    <phoneticPr fontId="1"/>
  </si>
  <si>
    <t>問1</t>
    <rPh sb="0" eb="1">
      <t xml:space="preserve">トイ </t>
    </rPh>
    <phoneticPr fontId="1"/>
  </si>
  <si>
    <t>問2</t>
    <rPh sb="0" eb="1">
      <t xml:space="preserve">トイ </t>
    </rPh>
    <phoneticPr fontId="1"/>
  </si>
  <si>
    <t>問3</t>
    <rPh sb="0" eb="1">
      <t xml:space="preserve">トイ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</si>
</sst>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176" fontId="0" fillId="0" borderId="5" xfId="0" applyNumberFormat="1" applyBorder="1">
      <alignment vertical="center"/>
    </xf>
    <xf numFmtId="176" fontId="0" fillId="0" borderId="6" xfId="0" applyNumberFormat="1" applyBorder="1">
      <alignment vertical="center"/>
    </xf>
    <xf numFmtId="176" fontId="0" fillId="0" borderId="7" xfId="0" applyNumberFormat="1" applyBorder="1">
      <alignment vertical="center"/>
    </xf>
    <xf numFmtId="176" fontId="0" fillId="0" borderId="8" xfId="0" applyNumberFormat="1" applyBorder="1">
      <alignment vertical="center"/>
    </xf>
    <xf numFmtId="176" fontId="0" fillId="0" borderId="9" xfId="0" applyNumberFormat="1" applyBorder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76" fontId="0" fillId="4" borderId="11" xfId="0" applyNumberFormat="1" applyFill="1" applyBorder="1">
      <alignment vertical="center"/>
    </xf>
    <xf numFmtId="176" fontId="0" fillId="4" borderId="12" xfId="0" applyNumberFormat="1" applyFill="1" applyBorder="1">
      <alignment vertical="center"/>
    </xf>
    <xf numFmtId="0" fontId="0" fillId="5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523EA-4822-DA47-B7FA-5691D6C0D478}">
  <dimension ref="A1:O17"/>
  <sheetViews>
    <sheetView zoomScale="170" zoomScaleNormal="170" workbookViewId="0">
      <selection activeCell="K22" sqref="K22"/>
    </sheetView>
  </sheetViews>
  <sheetFormatPr baseColWidth="10" defaultRowHeight="20"/>
  <cols>
    <col min="1" max="1" width="4.42578125" customWidth="1"/>
    <col min="2" max="2" width="6.85546875" style="1" customWidth="1"/>
  </cols>
  <sheetData>
    <row r="1" spans="1:15" ht="21" thickBot="1"/>
    <row r="2" spans="1:15">
      <c r="A2" s="2" t="s">
        <v>16</v>
      </c>
      <c r="C2" s="24" t="s">
        <v>5</v>
      </c>
      <c r="D2" s="25"/>
      <c r="E2" s="26"/>
      <c r="F2" s="27" t="s">
        <v>10</v>
      </c>
      <c r="G2" s="28"/>
      <c r="H2" s="29"/>
      <c r="I2" s="30" t="s">
        <v>6</v>
      </c>
      <c r="J2" s="31"/>
      <c r="K2" s="32"/>
      <c r="L2" s="35" t="s">
        <v>7</v>
      </c>
    </row>
    <row r="3" spans="1:15">
      <c r="A3" s="2"/>
      <c r="C3" s="10" t="s">
        <v>2</v>
      </c>
      <c r="D3" s="11" t="s">
        <v>3</v>
      </c>
      <c r="E3" s="12" t="s">
        <v>4</v>
      </c>
      <c r="F3" s="18" t="s">
        <v>11</v>
      </c>
      <c r="G3" s="19" t="s">
        <v>12</v>
      </c>
      <c r="H3" s="20" t="s">
        <v>13</v>
      </c>
      <c r="I3" s="13" t="s">
        <v>2</v>
      </c>
      <c r="J3" s="14" t="s">
        <v>3</v>
      </c>
      <c r="K3" s="15" t="s">
        <v>4</v>
      </c>
      <c r="L3" s="36"/>
    </row>
    <row r="4" spans="1:15">
      <c r="A4" s="2"/>
      <c r="B4" s="1" t="s">
        <v>0</v>
      </c>
      <c r="C4" s="5"/>
      <c r="D4" s="3"/>
      <c r="E4" s="6"/>
      <c r="F4" s="21" t="s">
        <v>15</v>
      </c>
      <c r="G4" s="22" t="s">
        <v>15</v>
      </c>
      <c r="H4" s="23" t="s">
        <v>15</v>
      </c>
      <c r="I4" s="5"/>
      <c r="J4" s="3"/>
      <c r="K4" s="6"/>
      <c r="L4" s="16"/>
    </row>
    <row r="5" spans="1:15" ht="21" thickBot="1">
      <c r="A5" s="2"/>
      <c r="B5" s="1" t="s">
        <v>1</v>
      </c>
      <c r="C5" s="7"/>
      <c r="D5" s="8"/>
      <c r="E5" s="9"/>
      <c r="F5" s="7"/>
      <c r="G5" s="8"/>
      <c r="H5" s="9"/>
      <c r="I5" s="7"/>
      <c r="J5" s="8"/>
      <c r="K5" s="9"/>
      <c r="L5" s="17"/>
    </row>
    <row r="6" spans="1:15">
      <c r="A6" s="2"/>
    </row>
    <row r="7" spans="1:15" ht="21" thickBot="1">
      <c r="A7" s="2"/>
    </row>
    <row r="8" spans="1:15">
      <c r="A8" s="2" t="s">
        <v>17</v>
      </c>
      <c r="C8" s="24" t="s">
        <v>5</v>
      </c>
      <c r="D8" s="25"/>
      <c r="E8" s="26"/>
      <c r="F8" s="27" t="s">
        <v>10</v>
      </c>
      <c r="G8" s="28"/>
      <c r="H8" s="29"/>
      <c r="I8" s="30" t="s">
        <v>6</v>
      </c>
      <c r="J8" s="31"/>
      <c r="K8" s="32"/>
      <c r="L8" s="35" t="s">
        <v>7</v>
      </c>
    </row>
    <row r="9" spans="1:15">
      <c r="A9" s="2"/>
      <c r="C9" s="10" t="s">
        <v>2</v>
      </c>
      <c r="D9" s="11" t="s">
        <v>3</v>
      </c>
      <c r="E9" s="12" t="s">
        <v>4</v>
      </c>
      <c r="F9" s="18" t="s">
        <v>11</v>
      </c>
      <c r="G9" s="19" t="s">
        <v>12</v>
      </c>
      <c r="H9" s="20" t="s">
        <v>13</v>
      </c>
      <c r="I9" s="13" t="s">
        <v>2</v>
      </c>
      <c r="J9" s="14" t="s">
        <v>3</v>
      </c>
      <c r="K9" s="15" t="s">
        <v>4</v>
      </c>
      <c r="L9" s="36"/>
    </row>
    <row r="10" spans="1:15">
      <c r="A10" s="2"/>
      <c r="B10" s="1" t="s">
        <v>0</v>
      </c>
      <c r="C10" s="5"/>
      <c r="D10" s="3"/>
      <c r="E10" s="6"/>
      <c r="F10" s="21" t="s">
        <v>15</v>
      </c>
      <c r="G10" s="22" t="s">
        <v>15</v>
      </c>
      <c r="H10" s="23" t="s">
        <v>15</v>
      </c>
      <c r="I10" s="5"/>
      <c r="J10" s="3"/>
      <c r="K10" s="6"/>
      <c r="L10" s="16"/>
    </row>
    <row r="11" spans="1:15" ht="21" thickBot="1">
      <c r="A11" s="2"/>
      <c r="B11" s="1" t="s">
        <v>1</v>
      </c>
      <c r="C11" s="7"/>
      <c r="D11" s="8"/>
      <c r="E11" s="9"/>
      <c r="F11" s="7"/>
      <c r="G11" s="8"/>
      <c r="H11" s="9"/>
      <c r="I11" s="7"/>
      <c r="J11" s="8"/>
      <c r="K11" s="9"/>
      <c r="L11" s="17"/>
    </row>
    <row r="12" spans="1:15">
      <c r="A12" s="2"/>
      <c r="C12" s="4"/>
      <c r="D12" s="4"/>
      <c r="E12" s="4"/>
      <c r="F12" s="4"/>
      <c r="G12" s="4"/>
      <c r="H12" s="4"/>
      <c r="I12" s="4"/>
    </row>
    <row r="13" spans="1:15" ht="21" thickBot="1">
      <c r="A13" s="2"/>
    </row>
    <row r="14" spans="1:15" ht="20" customHeight="1">
      <c r="A14" s="2" t="s">
        <v>18</v>
      </c>
      <c r="C14" s="24" t="s">
        <v>5</v>
      </c>
      <c r="D14" s="25"/>
      <c r="E14" s="25"/>
      <c r="F14" s="26"/>
      <c r="G14" s="27" t="s">
        <v>10</v>
      </c>
      <c r="H14" s="28"/>
      <c r="I14" s="28"/>
      <c r="J14" s="29"/>
      <c r="K14" s="30" t="s">
        <v>6</v>
      </c>
      <c r="L14" s="31"/>
      <c r="M14" s="31"/>
      <c r="N14" s="32"/>
      <c r="O14" s="33" t="s">
        <v>7</v>
      </c>
    </row>
    <row r="15" spans="1:15">
      <c r="C15" s="10" t="s">
        <v>2</v>
      </c>
      <c r="D15" s="11" t="s">
        <v>3</v>
      </c>
      <c r="E15" s="11" t="s">
        <v>4</v>
      </c>
      <c r="F15" s="12" t="s">
        <v>8</v>
      </c>
      <c r="G15" s="18" t="s">
        <v>11</v>
      </c>
      <c r="H15" s="19" t="s">
        <v>12</v>
      </c>
      <c r="I15" s="19" t="s">
        <v>13</v>
      </c>
      <c r="J15" s="20" t="s">
        <v>14</v>
      </c>
      <c r="K15" s="13" t="s">
        <v>2</v>
      </c>
      <c r="L15" s="14" t="s">
        <v>3</v>
      </c>
      <c r="M15" s="14" t="s">
        <v>4</v>
      </c>
      <c r="N15" s="15" t="s">
        <v>9</v>
      </c>
      <c r="O15" s="34"/>
    </row>
    <row r="16" spans="1:15">
      <c r="B16" s="1" t="s">
        <v>0</v>
      </c>
      <c r="C16" s="5"/>
      <c r="D16" s="3"/>
      <c r="E16" s="3"/>
      <c r="F16" s="6"/>
      <c r="G16" s="21" t="s">
        <v>15</v>
      </c>
      <c r="H16" s="22" t="s">
        <v>15</v>
      </c>
      <c r="I16" s="22" t="s">
        <v>15</v>
      </c>
      <c r="J16" s="23" t="s">
        <v>15</v>
      </c>
      <c r="K16" s="5"/>
      <c r="L16" s="3"/>
      <c r="M16" s="3"/>
      <c r="N16" s="6"/>
      <c r="O16" s="16"/>
    </row>
    <row r="17" spans="2:15" ht="21" thickBot="1">
      <c r="B17" s="1" t="s">
        <v>1</v>
      </c>
      <c r="C17" s="7"/>
      <c r="D17" s="8"/>
      <c r="E17" s="8"/>
      <c r="F17" s="9"/>
      <c r="G17" s="7"/>
      <c r="H17" s="8"/>
      <c r="I17" s="8"/>
      <c r="J17" s="9"/>
      <c r="K17" s="7"/>
      <c r="L17" s="8"/>
      <c r="M17" s="8"/>
      <c r="N17" s="9"/>
      <c r="O17" s="17"/>
    </row>
  </sheetData>
  <mergeCells count="12">
    <mergeCell ref="C14:F14"/>
    <mergeCell ref="G14:J14"/>
    <mergeCell ref="K14:N14"/>
    <mergeCell ref="O14:O15"/>
    <mergeCell ref="C2:E2"/>
    <mergeCell ref="F2:H2"/>
    <mergeCell ref="I2:K2"/>
    <mergeCell ref="L2:L3"/>
    <mergeCell ref="C8:E8"/>
    <mergeCell ref="F8:H8"/>
    <mergeCell ref="I8:K8"/>
    <mergeCell ref="L8:L9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8FD2D-CAE0-9E48-AFC6-322C5A7B4E1E}">
  <dimension ref="A1:O17"/>
  <sheetViews>
    <sheetView tabSelected="1" zoomScaleNormal="100" workbookViewId="0">
      <selection activeCell="G20" sqref="G20"/>
    </sheetView>
  </sheetViews>
  <sheetFormatPr baseColWidth="10" defaultRowHeight="20"/>
  <cols>
    <col min="1" max="1" width="4.42578125" customWidth="1"/>
    <col min="2" max="2" width="6.85546875" style="1" customWidth="1"/>
  </cols>
  <sheetData>
    <row r="1" spans="1:15" ht="21" thickBot="1"/>
    <row r="2" spans="1:15">
      <c r="A2" s="2" t="s">
        <v>16</v>
      </c>
      <c r="C2" s="24" t="s">
        <v>5</v>
      </c>
      <c r="D2" s="25"/>
      <c r="E2" s="26"/>
      <c r="F2" s="27" t="s">
        <v>10</v>
      </c>
      <c r="G2" s="28"/>
      <c r="H2" s="29"/>
      <c r="I2" s="30" t="s">
        <v>6</v>
      </c>
      <c r="J2" s="31"/>
      <c r="K2" s="32"/>
      <c r="L2" s="35" t="s">
        <v>7</v>
      </c>
    </row>
    <row r="3" spans="1:15">
      <c r="A3" s="2"/>
      <c r="C3" s="10" t="s">
        <v>2</v>
      </c>
      <c r="D3" s="11" t="s">
        <v>3</v>
      </c>
      <c r="E3" s="12" t="s">
        <v>4</v>
      </c>
      <c r="F3" s="18" t="s">
        <v>11</v>
      </c>
      <c r="G3" s="19" t="s">
        <v>12</v>
      </c>
      <c r="H3" s="20" t="s">
        <v>13</v>
      </c>
      <c r="I3" s="13" t="s">
        <v>2</v>
      </c>
      <c r="J3" s="14" t="s">
        <v>3</v>
      </c>
      <c r="K3" s="15" t="s">
        <v>4</v>
      </c>
      <c r="L3" s="36"/>
    </row>
    <row r="4" spans="1:15">
      <c r="A4" s="2"/>
      <c r="B4" s="1" t="s">
        <v>0</v>
      </c>
      <c r="C4" s="5">
        <v>25000</v>
      </c>
      <c r="D4" s="3">
        <v>50000</v>
      </c>
      <c r="E4" s="6">
        <v>75000</v>
      </c>
      <c r="F4" s="21" t="s">
        <v>15</v>
      </c>
      <c r="G4" s="22" t="s">
        <v>15</v>
      </c>
      <c r="H4" s="23" t="s">
        <v>15</v>
      </c>
      <c r="I4" s="5">
        <f>C4/(1+0.08)</f>
        <v>23148.148148148146</v>
      </c>
      <c r="J4" s="3">
        <f>D4/(1+0.08)^2</f>
        <v>42866.941015089156</v>
      </c>
      <c r="K4" s="6">
        <f>E4/(1+0.08)^3</f>
        <v>59537.418076512717</v>
      </c>
      <c r="L4" s="16">
        <f>I4+J4+K4</f>
        <v>125552.50723975003</v>
      </c>
    </row>
    <row r="5" spans="1:15" ht="21" thickBot="1">
      <c r="A5" s="2"/>
      <c r="B5" s="1" t="s">
        <v>1</v>
      </c>
      <c r="C5" s="7">
        <v>-50000</v>
      </c>
      <c r="D5" s="8">
        <v>-75000</v>
      </c>
      <c r="E5" s="9">
        <v>300000</v>
      </c>
      <c r="F5" s="7">
        <f>C5-C4</f>
        <v>-75000</v>
      </c>
      <c r="G5" s="8">
        <f>D5-D4</f>
        <v>-125000</v>
      </c>
      <c r="H5" s="9">
        <f>E5</f>
        <v>300000</v>
      </c>
      <c r="I5" s="7">
        <f>F5/(1+0.08)</f>
        <v>-69444.444444444438</v>
      </c>
      <c r="J5" s="8">
        <f>G5/(1+0.08)^2</f>
        <v>-107167.35253772289</v>
      </c>
      <c r="K5" s="9">
        <f>H5/(1+0.08)^3</f>
        <v>238149.67230605087</v>
      </c>
      <c r="L5" s="17">
        <f>I5+J5+K5-I4-J4</f>
        <v>-4477.2138393537825</v>
      </c>
    </row>
    <row r="6" spans="1:15">
      <c r="A6" s="2"/>
    </row>
    <row r="7" spans="1:15" ht="21" thickBot="1">
      <c r="A7" s="2"/>
    </row>
    <row r="8" spans="1:15">
      <c r="A8" s="2" t="s">
        <v>17</v>
      </c>
      <c r="C8" s="24" t="s">
        <v>5</v>
      </c>
      <c r="D8" s="25"/>
      <c r="E8" s="26"/>
      <c r="F8" s="27" t="s">
        <v>10</v>
      </c>
      <c r="G8" s="28"/>
      <c r="H8" s="29"/>
      <c r="I8" s="30" t="s">
        <v>6</v>
      </c>
      <c r="J8" s="31"/>
      <c r="K8" s="32"/>
      <c r="L8" s="35" t="s">
        <v>7</v>
      </c>
    </row>
    <row r="9" spans="1:15">
      <c r="A9" s="2"/>
      <c r="C9" s="10" t="s">
        <v>2</v>
      </c>
      <c r="D9" s="11" t="s">
        <v>3</v>
      </c>
      <c r="E9" s="12" t="s">
        <v>4</v>
      </c>
      <c r="F9" s="18" t="s">
        <v>11</v>
      </c>
      <c r="G9" s="19" t="s">
        <v>12</v>
      </c>
      <c r="H9" s="20" t="s">
        <v>13</v>
      </c>
      <c r="I9" s="13" t="s">
        <v>2</v>
      </c>
      <c r="J9" s="14" t="s">
        <v>3</v>
      </c>
      <c r="K9" s="15" t="s">
        <v>4</v>
      </c>
      <c r="L9" s="36"/>
    </row>
    <row r="10" spans="1:15">
      <c r="A10" s="2"/>
      <c r="B10" s="1" t="s">
        <v>0</v>
      </c>
      <c r="C10" s="5">
        <v>25000</v>
      </c>
      <c r="D10" s="3">
        <v>50000</v>
      </c>
      <c r="E10" s="6">
        <v>75000</v>
      </c>
      <c r="F10" s="21" t="s">
        <v>15</v>
      </c>
      <c r="G10" s="22" t="s">
        <v>15</v>
      </c>
      <c r="H10" s="23" t="s">
        <v>15</v>
      </c>
      <c r="I10" s="5">
        <f>C10/(1+0.08)^2</f>
        <v>21433.470507544578</v>
      </c>
      <c r="J10" s="3">
        <f>D10/(1+0.08)^3</f>
        <v>39691.61205100848</v>
      </c>
      <c r="K10" s="6">
        <f>E10/(1+0.08)^4</f>
        <v>55127.238959733993</v>
      </c>
      <c r="L10" s="16">
        <f>I10+J10+K10</f>
        <v>116252.32151828705</v>
      </c>
    </row>
    <row r="11" spans="1:15" ht="21" thickBot="1">
      <c r="A11" s="2"/>
      <c r="B11" s="1" t="s">
        <v>1</v>
      </c>
      <c r="C11" s="7">
        <v>-50000</v>
      </c>
      <c r="D11" s="8">
        <v>-75000</v>
      </c>
      <c r="E11" s="9">
        <v>300000</v>
      </c>
      <c r="F11" s="7">
        <f>C11-C10</f>
        <v>-75000</v>
      </c>
      <c r="G11" s="8">
        <f>D11-D10</f>
        <v>-125000</v>
      </c>
      <c r="H11" s="9">
        <f>E11</f>
        <v>300000</v>
      </c>
      <c r="I11" s="7">
        <f>F11/(1+0.08)^2</f>
        <v>-64300.411522633738</v>
      </c>
      <c r="J11" s="8">
        <f>G11/(1+0.08)^3</f>
        <v>-99229.030127521197</v>
      </c>
      <c r="K11" s="9">
        <f>H11/(1+0.08)^4</f>
        <v>220508.95583893597</v>
      </c>
      <c r="L11" s="17">
        <f>I11+J11+K11-I10-J10</f>
        <v>-4145.5683697720306</v>
      </c>
    </row>
    <row r="12" spans="1:15">
      <c r="A12" s="2"/>
      <c r="C12" s="4"/>
      <c r="D12" s="4"/>
      <c r="E12" s="4"/>
      <c r="F12" s="4"/>
      <c r="G12" s="4"/>
      <c r="H12" s="4"/>
      <c r="I12" s="4"/>
    </row>
    <row r="13" spans="1:15" ht="21" thickBot="1">
      <c r="A13" s="2"/>
    </row>
    <row r="14" spans="1:15" ht="20" customHeight="1">
      <c r="A14" s="2" t="s">
        <v>18</v>
      </c>
      <c r="C14" s="24" t="s">
        <v>5</v>
      </c>
      <c r="D14" s="25"/>
      <c r="E14" s="25"/>
      <c r="F14" s="26"/>
      <c r="G14" s="27" t="s">
        <v>10</v>
      </c>
      <c r="H14" s="28"/>
      <c r="I14" s="28"/>
      <c r="J14" s="29"/>
      <c r="K14" s="30" t="s">
        <v>6</v>
      </c>
      <c r="L14" s="31"/>
      <c r="M14" s="31"/>
      <c r="N14" s="32"/>
      <c r="O14" s="33" t="s">
        <v>7</v>
      </c>
    </row>
    <row r="15" spans="1:15">
      <c r="C15" s="10" t="s">
        <v>2</v>
      </c>
      <c r="D15" s="11" t="s">
        <v>3</v>
      </c>
      <c r="E15" s="11" t="s">
        <v>4</v>
      </c>
      <c r="F15" s="12" t="s">
        <v>8</v>
      </c>
      <c r="G15" s="18" t="s">
        <v>11</v>
      </c>
      <c r="H15" s="19" t="s">
        <v>12</v>
      </c>
      <c r="I15" s="19" t="s">
        <v>13</v>
      </c>
      <c r="J15" s="20" t="s">
        <v>14</v>
      </c>
      <c r="K15" s="13" t="s">
        <v>2</v>
      </c>
      <c r="L15" s="14" t="s">
        <v>3</v>
      </c>
      <c r="M15" s="14" t="s">
        <v>4</v>
      </c>
      <c r="N15" s="15" t="s">
        <v>9</v>
      </c>
      <c r="O15" s="34"/>
    </row>
    <row r="16" spans="1:15">
      <c r="B16" s="1" t="s">
        <v>0</v>
      </c>
      <c r="C16" s="5">
        <v>25000</v>
      </c>
      <c r="D16" s="3">
        <v>50000</v>
      </c>
      <c r="E16" s="3">
        <v>75000</v>
      </c>
      <c r="F16" s="6">
        <v>100000</v>
      </c>
      <c r="G16" s="21" t="s">
        <v>15</v>
      </c>
      <c r="H16" s="22" t="s">
        <v>15</v>
      </c>
      <c r="I16" s="22" t="s">
        <v>15</v>
      </c>
      <c r="J16" s="23" t="s">
        <v>15</v>
      </c>
      <c r="K16" s="5">
        <f>C16/(1+0.08)</f>
        <v>23148.148148148146</v>
      </c>
      <c r="L16" s="3">
        <f>D16/(1+0.08)^2</f>
        <v>42866.941015089156</v>
      </c>
      <c r="M16" s="3">
        <f>E16/(1+0.08)^3</f>
        <v>59537.418076512717</v>
      </c>
      <c r="N16" s="6">
        <f>F16/(1+0.08)^4</f>
        <v>73502.98527964532</v>
      </c>
      <c r="O16" s="16">
        <f>K16+L16+M16+N16</f>
        <v>199055.49251939537</v>
      </c>
    </row>
    <row r="17" spans="2:15" ht="21" thickBot="1">
      <c r="B17" s="1" t="s">
        <v>1</v>
      </c>
      <c r="C17" s="7">
        <v>-50000</v>
      </c>
      <c r="D17" s="8">
        <v>-75000</v>
      </c>
      <c r="E17" s="8">
        <v>300000</v>
      </c>
      <c r="F17" s="9">
        <v>300000</v>
      </c>
      <c r="G17" s="7">
        <f>C17-C16</f>
        <v>-75000</v>
      </c>
      <c r="H17" s="8">
        <f>D17-D16</f>
        <v>-125000</v>
      </c>
      <c r="I17" s="8">
        <f>E17</f>
        <v>300000</v>
      </c>
      <c r="J17" s="9">
        <f>F17</f>
        <v>300000</v>
      </c>
      <c r="K17" s="7">
        <f>G17/(1+0.08)</f>
        <v>-69444.444444444438</v>
      </c>
      <c r="L17" s="8">
        <f>H17/(1+0.08)^2</f>
        <v>-107167.35253772289</v>
      </c>
      <c r="M17" s="8">
        <f>I17/(1+0.08)^3</f>
        <v>238149.67230605087</v>
      </c>
      <c r="N17" s="9">
        <f>J17/(1+0.08)^4</f>
        <v>220508.95583893597</v>
      </c>
      <c r="O17" s="17">
        <f>K17+L17+M17-K16-L16+N17</f>
        <v>216031.74199958218</v>
      </c>
    </row>
  </sheetData>
  <mergeCells count="12">
    <mergeCell ref="C14:F14"/>
    <mergeCell ref="K14:N14"/>
    <mergeCell ref="O14:O15"/>
    <mergeCell ref="C2:E2"/>
    <mergeCell ref="I2:K2"/>
    <mergeCell ref="L2:L3"/>
    <mergeCell ref="C8:E8"/>
    <mergeCell ref="I8:K8"/>
    <mergeCell ref="L8:L9"/>
    <mergeCell ref="F2:H2"/>
    <mergeCell ref="F8:H8"/>
    <mergeCell ref="G14:J1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ヒント</vt:lpstr>
      <vt:lpstr>解答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Shimpei Taguchi</dc:creator>
  <cp:lastModifiedBy>Shimpei Taguchi</cp:lastModifiedBy>
  <dcterms:created xsi:type="dcterms:W3CDTF">2025-04-29T06:01:09Z</dcterms:created>
  <dcterms:modified xsi:type="dcterms:W3CDTF">2026-04-26T06:24:11Z</dcterms:modified>
</cp:coreProperties>
</file>